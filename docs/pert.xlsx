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T" sheetId="1" state="visible" r:id="rId3"/>
    <sheet name="Resumen" sheetId="2" state="visible" r:id="rId4"/>
    <sheet name="Festivos" sheetId="3" state="visible" r:id="rId5"/>
  </sheets>
  <definedNames>
    <definedName function="false" hidden="false" name="Festivos" vbProcedure="false">Festivos!$A$4:$A$18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<sst xmlns="http://schemas.openxmlformats.org/spreadsheetml/2006/main" count="106" uniqueCount="85">
  <si>
    <t xml:space="preserve">Barcelona Alimenta · PERT y ruta crítica (Grupo 8)</t>
  </si>
  <si>
    <t xml:space="preserve">Celdas en azul = estimaciones del grupo (a, m, b, fecha de inicio, plazo). Todo lo demás se calcula. Duraciones en semanas.</t>
  </si>
  <si>
    <t xml:space="preserve">ID</t>
  </si>
  <si>
    <t xml:space="preserve">Actividad</t>
  </si>
  <si>
    <t xml:space="preserve">Predecesoras</t>
  </si>
  <si>
    <t xml:space="preserve">Responsable</t>
  </si>
  <si>
    <t xml:space="preserve">a</t>
  </si>
  <si>
    <t xml:space="preserve">m</t>
  </si>
  <si>
    <t xml:space="preserve">b</t>
  </si>
  <si>
    <t xml:space="preserve">te</t>
  </si>
  <si>
    <t xml:space="preserve">σ²</t>
  </si>
  <si>
    <t xml:space="preserve">ES</t>
  </si>
  <si>
    <t xml:space="preserve">EF</t>
  </si>
  <si>
    <t xml:space="preserve">LS</t>
  </si>
  <si>
    <t xml:space="preserve">LF</t>
  </si>
  <si>
    <t xml:space="preserve">Holgura</t>
  </si>
  <si>
    <t xml:space="preserve">¿Crítica?</t>
  </si>
  <si>
    <t xml:space="preserve">Días</t>
  </si>
  <si>
    <t xml:space="preserve">Inicio</t>
  </si>
  <si>
    <t xml:space="preserve">Fin</t>
  </si>
  <si>
    <t xml:space="preserve">A</t>
  </si>
  <si>
    <t xml:space="preserve">Primera entrega: enfoque, tema, repo, README, Gantt y Kanban iniciales</t>
  </si>
  <si>
    <t xml:space="preserve">—</t>
  </si>
  <si>
    <t xml:space="preserve">Oriol</t>
  </si>
  <si>
    <t xml:space="preserve">B</t>
  </si>
  <si>
    <t xml:space="preserve">Análisis del reto, datos y beneficiarios</t>
  </si>
  <si>
    <t xml:space="preserve">Hèctor</t>
  </si>
  <si>
    <t xml:space="preserve">C</t>
  </si>
  <si>
    <t xml:space="preserve">Project charter, objetivos y alcance</t>
  </si>
  <si>
    <t xml:space="preserve">D</t>
  </si>
  <si>
    <t xml:space="preserve">WBS, PERT y Gantt detallados (versión revisada)</t>
  </si>
  <si>
    <t xml:space="preserve">E</t>
  </si>
  <si>
    <t xml:space="preserve">Matriz RACI</t>
  </si>
  <si>
    <t xml:space="preserve">F</t>
  </si>
  <si>
    <t xml:space="preserve">Costes, recursos y financiación</t>
  </si>
  <si>
    <t xml:space="preserve">Xavier</t>
  </si>
  <si>
    <t xml:space="preserve">G</t>
  </si>
  <si>
    <t xml:space="preserve">Matriz de riesgos</t>
  </si>
  <si>
    <t xml:space="preserve">H</t>
  </si>
  <si>
    <t xml:space="preserve">Teoría del Cambio e indicadores de impacto</t>
  </si>
  <si>
    <t xml:space="preserve">I</t>
  </si>
  <si>
    <t xml:space="preserve">Mapa de stakeholders</t>
  </si>
  <si>
    <t xml:space="preserve">Pol</t>
  </si>
  <si>
    <t xml:space="preserve">J</t>
  </si>
  <si>
    <t xml:space="preserve">Gobernanza y estrategia de comunicación</t>
  </si>
  <si>
    <t xml:space="preserve">I, E</t>
  </si>
  <si>
    <t xml:space="preserve">K</t>
  </si>
  <si>
    <t xml:space="preserve">Diseñar el prototipo (preguntas, indicadores, wireframe)</t>
  </si>
  <si>
    <t xml:space="preserve">L</t>
  </si>
  <si>
    <t xml:space="preserve">Desarrollar el dashboard (datos, mapa, indicadores)</t>
  </si>
  <si>
    <t xml:space="preserve">M</t>
  </si>
  <si>
    <t xml:space="preserve">Publicar en GitHub Pages y redactar sobre.html</t>
  </si>
  <si>
    <t xml:space="preserve">N</t>
  </si>
  <si>
    <t xml:space="preserve">Redactar la propuesta escrita</t>
  </si>
  <si>
    <t xml:space="preserve">F, G, H, J</t>
  </si>
  <si>
    <t xml:space="preserve">O</t>
  </si>
  <si>
    <t xml:space="preserve">Preparar y ensayar la presentación oral</t>
  </si>
  <si>
    <t xml:space="preserve">N, M</t>
  </si>
  <si>
    <t xml:space="preserve">Todos</t>
  </si>
  <si>
    <t xml:space="preserve">te = (a + 4m + b) / 6 · σ² = ((b − a) / 6)² · Holgura = LS − ES · Las filas en rojo forman la ruta crítica.</t>
  </si>
  <si>
    <t xml:space="preserve">Días = te × 7 (días naturales). Inicio y Fin saltan las vacaciones de la hoja Festivos (calendario académico UAB 2026/27).</t>
  </si>
  <si>
    <t xml:space="preserve">Resumen del proyecto</t>
  </si>
  <si>
    <t xml:space="preserve">Celdas amarillas: se pueden cambiar (fecha de inicio y fecha límite).</t>
  </si>
  <si>
    <t xml:space="preserve">Inicio del proyecto</t>
  </si>
  <si>
    <t xml:space="preserve">Fecha de la primera entrega</t>
  </si>
  <si>
    <t xml:space="preserve">Duración esperada T (semanas)</t>
  </si>
  <si>
    <t xml:space="preserve">Fin más tardío de todas las actividades</t>
  </si>
  <si>
    <t xml:space="preserve">σ² del proyecto (suma de críticas)</t>
  </si>
  <si>
    <t xml:space="preserve">σ del proyecto (semanas)</t>
  </si>
  <si>
    <t xml:space="preserve">Fin previsto (calendario)</t>
  </si>
  <si>
    <t xml:space="preserve">Excluye las vacaciones de Navidad</t>
  </si>
  <si>
    <t xml:space="preserve">Fecha límite supuesta</t>
  </si>
  <si>
    <t xml:space="preserve">Fin del periodo de evaluación del 1.er semestre. Cambiar cuando el profesor confirme la fecha real</t>
  </si>
  <si>
    <t xml:space="preserve">Semanas de trabajo hasta la fecha límite</t>
  </si>
  <si>
    <t xml:space="preserve">Días naturales sin vacaciones / 7</t>
  </si>
  <si>
    <t xml:space="preserve">z = (plazo − T) / σ</t>
  </si>
  <si>
    <t xml:space="preserve">P(terminar a tiempo)</t>
  </si>
  <si>
    <t xml:space="preserve">Distribución normal estándar</t>
  </si>
  <si>
    <t xml:space="preserve">Ruta crítica</t>
  </si>
  <si>
    <t xml:space="preserve">Vacaciones de Navidad (no lectivas)</t>
  </si>
  <si>
    <t xml:space="preserve">Fuente: calendario académico UAB 2026/27 (23/12/2026 – 06/01/2027)</t>
  </si>
  <si>
    <t xml:space="preserve">Primer día no lectivo</t>
  </si>
  <si>
    <t xml:space="preserve">Último día no lectivo</t>
  </si>
  <si>
    <t xml:space="preserve">Días (bloque continuo)</t>
  </si>
  <si>
    <t xml:space="preserve">Las fórmulas suponen un único bloque de días seguidos.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</si>
</sst>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dd/mm/yyyy"/>
    <numFmt numFmtId="167" formatCode="0.0%"/>
    <numFmt numFmtId="16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D50"/>
        <bgColor rgb="FF555555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DE2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DE2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D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7" min="5" style="0" width="5"/>
    <col collapsed="false" customWidth="true" hidden="false" outlineLevel="0" max="13" min="8" style="0" width="7"/>
    <col collapsed="false" customWidth="true" hidden="false" outlineLevel="0" max="14" min="14" style="0" width="8"/>
    <col collapsed="false" customWidth="true" hidden="false" outlineLevel="0" max="15" min="15" style="0" width="9"/>
    <col collapsed="false" customWidth="true" hidden="false" outlineLevel="0" max="16" min="16" style="0" width="6"/>
    <col collapsed="false" customWidth="true" hidden="false" outlineLevel="0" max="18" min="17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customFormat="false" ht="15" hidden="false" customHeight="false" outlineLevel="0" collapsed="false">
      <c r="A5" s="4" t="s">
        <v>20</v>
      </c>
      <c r="B5" s="5" t="s">
        <v>21</v>
      </c>
      <c r="C5" s="4" t="s">
        <v>22</v>
      </c>
      <c r="D5" s="4" t="s">
        <v>23</v>
      </c>
      <c r="E5" s="6" t="n">
        <v>1</v>
      </c>
      <c r="F5" s="6" t="n">
        <v>1</v>
      </c>
      <c r="G5" s="6" t="n">
        <v>2</v>
      </c>
      <c r="H5" s="7" t="n">
        <f aca="false">(E5+4*F5+G5)/6</f>
        <v>1.16666666666667</v>
      </c>
      <c r="I5" s="7" t="n">
        <f aca="false">((G5-E5)/6)^2</f>
        <v>0.0277777777777778</v>
      </c>
      <c r="J5" s="7" t="n">
        <f aca="false">0</f>
        <v>0</v>
      </c>
      <c r="K5" s="7" t="n">
        <f aca="false">J5+H5</f>
        <v>1.16666666666667</v>
      </c>
      <c r="L5" s="7" t="n">
        <f aca="false">M5-H5</f>
        <v>0</v>
      </c>
      <c r="M5" s="7" t="n">
        <f aca="false">MIN(L6,L7)</f>
        <v>1.16666666666667</v>
      </c>
      <c r="N5" s="7" t="n">
        <f aca="false">L5-J5</f>
        <v>0</v>
      </c>
      <c r="O5" s="4" t="str">
        <f aca="false">IF(ABS(N5)&lt;0.001,"Sí","No")</f>
        <v>Sí</v>
      </c>
      <c r="P5" s="4" t="n">
        <f aca="false">ROUND(H5*7,0)</f>
        <v>8</v>
      </c>
      <c r="Q5" s="8" t="n">
        <f aca="false">Resumen!$B$4</f>
        <v>46317</v>
      </c>
      <c r="R5" s="8" t="n">
        <f aca="false">Q5+P5-1+IF(AND(Q5&lt;Festivos!$D$4,Q5+P5-1&gt;=Festivos!$D$4),Festivos!$D$6,0)</f>
        <v>46324</v>
      </c>
    </row>
    <row r="6" customFormat="false" ht="15" hidden="false" customHeight="false" outlineLevel="0" collapsed="false">
      <c r="A6" s="4" t="s">
        <v>24</v>
      </c>
      <c r="B6" s="5" t="s">
        <v>25</v>
      </c>
      <c r="C6" s="4" t="s">
        <v>20</v>
      </c>
      <c r="D6" s="4" t="s">
        <v>26</v>
      </c>
      <c r="E6" s="6" t="n">
        <v>1</v>
      </c>
      <c r="F6" s="6" t="n">
        <v>2</v>
      </c>
      <c r="G6" s="6" t="n">
        <v>5</v>
      </c>
      <c r="H6" s="7" t="n">
        <f aca="false">(E6+4*F6+G6)/6</f>
        <v>2.33333333333333</v>
      </c>
      <c r="I6" s="7" t="n">
        <f aca="false">((G6-E6)/6)^2</f>
        <v>0.444444444444444</v>
      </c>
      <c r="J6" s="7" t="n">
        <f aca="false">MAX(K5)</f>
        <v>1.16666666666667</v>
      </c>
      <c r="K6" s="7" t="n">
        <f aca="false">J6+H6</f>
        <v>3.5</v>
      </c>
      <c r="L6" s="7" t="n">
        <f aca="false">M6-H6</f>
        <v>1.83333333333333</v>
      </c>
      <c r="M6" s="7" t="n">
        <f aca="false">MIN(L12,L13)</f>
        <v>4.16666666666667</v>
      </c>
      <c r="N6" s="7" t="n">
        <f aca="false">L6-J6</f>
        <v>0.666666666666667</v>
      </c>
      <c r="O6" s="4" t="str">
        <f aca="false">IF(ABS(N6)&lt;0.001,"Sí","No")</f>
        <v>No</v>
      </c>
      <c r="P6" s="4" t="n">
        <f aca="false">ROUND(H6*7,0)</f>
        <v>16</v>
      </c>
      <c r="Q6" s="8" t="n">
        <f aca="false">IF(AND((MAX(R5)+1)&gt;=Festivos!$D$4,(MAX(R5)+1)&lt;=Festivos!$D$5),Festivos!$D$5+1,(MAX(R5)+1))</f>
        <v>46325</v>
      </c>
      <c r="R6" s="8" t="n">
        <f aca="false">Q6+P6-1+IF(AND(Q6&lt;Festivos!$D$4,Q6+P6-1&gt;=Festivos!$D$4),Festivos!$D$6,0)</f>
        <v>46340</v>
      </c>
    </row>
    <row r="7" customFormat="false" ht="15" hidden="false" customHeight="false" outlineLevel="0" collapsed="false">
      <c r="A7" s="4" t="s">
        <v>27</v>
      </c>
      <c r="B7" s="5" t="s">
        <v>28</v>
      </c>
      <c r="C7" s="4" t="s">
        <v>20</v>
      </c>
      <c r="D7" s="4" t="s">
        <v>23</v>
      </c>
      <c r="E7" s="6" t="n">
        <v>1</v>
      </c>
      <c r="F7" s="6" t="n">
        <v>1</v>
      </c>
      <c r="G7" s="6" t="n">
        <v>2</v>
      </c>
      <c r="H7" s="7" t="n">
        <f aca="false">(E7+4*F7+G7)/6</f>
        <v>1.16666666666667</v>
      </c>
      <c r="I7" s="7" t="n">
        <f aca="false">((G7-E7)/6)^2</f>
        <v>0.0277777777777778</v>
      </c>
      <c r="J7" s="7" t="n">
        <f aca="false">MAX(K5)</f>
        <v>1.16666666666667</v>
      </c>
      <c r="K7" s="7" t="n">
        <f aca="false">J7+H7</f>
        <v>2.33333333333333</v>
      </c>
      <c r="L7" s="7" t="n">
        <f aca="false">M7-H7</f>
        <v>1.16666666666667</v>
      </c>
      <c r="M7" s="7" t="n">
        <f aca="false">MIN(L8,L9)</f>
        <v>2.33333333333333</v>
      </c>
      <c r="N7" s="7" t="n">
        <f aca="false">L7-J7</f>
        <v>0</v>
      </c>
      <c r="O7" s="4" t="str">
        <f aca="false">IF(ABS(N7)&lt;0.001,"Sí","No")</f>
        <v>Sí</v>
      </c>
      <c r="P7" s="4" t="n">
        <f aca="false">ROUND(H7*7,0)</f>
        <v>8</v>
      </c>
      <c r="Q7" s="8" t="n">
        <f aca="false">IF(AND((MAX(R5)+1)&gt;=Festivos!$D$4,(MAX(R5)+1)&lt;=Festivos!$D$5),Festivos!$D$5+1,(MAX(R5)+1))</f>
        <v>46325</v>
      </c>
      <c r="R7" s="8" t="n">
        <f aca="false">Q7+P7-1+IF(AND(Q7&lt;Festivos!$D$4,Q7+P7-1&gt;=Festivos!$D$4),Festivos!$D$6,0)</f>
        <v>46332</v>
      </c>
    </row>
    <row r="8" customFormat="false" ht="15" hidden="false" customHeight="false" outlineLevel="0" collapsed="false">
      <c r="A8" s="4" t="s">
        <v>29</v>
      </c>
      <c r="B8" s="5" t="s">
        <v>30</v>
      </c>
      <c r="C8" s="4" t="s">
        <v>27</v>
      </c>
      <c r="D8" s="4" t="s">
        <v>23</v>
      </c>
      <c r="E8" s="6" t="n">
        <v>1</v>
      </c>
      <c r="F8" s="6" t="n">
        <v>1</v>
      </c>
      <c r="G8" s="6" t="n">
        <v>2</v>
      </c>
      <c r="H8" s="7" t="n">
        <f aca="false">(E8+4*F8+G8)/6</f>
        <v>1.16666666666667</v>
      </c>
      <c r="I8" s="7" t="n">
        <f aca="false">((G8-E8)/6)^2</f>
        <v>0.0277777777777778</v>
      </c>
      <c r="J8" s="7" t="n">
        <f aca="false">MAX(K7)</f>
        <v>2.33333333333333</v>
      </c>
      <c r="K8" s="7" t="n">
        <f aca="false">J8+H8</f>
        <v>3.5</v>
      </c>
      <c r="L8" s="7" t="n">
        <f aca="false">M8-H8</f>
        <v>2.33333333333333</v>
      </c>
      <c r="M8" s="7" t="n">
        <f aca="false">MIN(L10,L11,L15)</f>
        <v>3.5</v>
      </c>
      <c r="N8" s="7" t="n">
        <f aca="false">L8-J8</f>
        <v>0</v>
      </c>
      <c r="O8" s="4" t="str">
        <f aca="false">IF(ABS(N8)&lt;0.001,"Sí","No")</f>
        <v>Sí</v>
      </c>
      <c r="P8" s="4" t="n">
        <f aca="false">ROUND(H8*7,0)</f>
        <v>8</v>
      </c>
      <c r="Q8" s="8" t="n">
        <f aca="false">IF(AND((MAX(R7)+1)&gt;=Festivos!$D$4,(MAX(R7)+1)&lt;=Festivos!$D$5),Festivos!$D$5+1,(MAX(R7)+1))</f>
        <v>46333</v>
      </c>
      <c r="R8" s="8" t="n">
        <f aca="false">Q8+P8-1+IF(AND(Q8&lt;Festivos!$D$4,Q8+P8-1&gt;=Festivos!$D$4),Festivos!$D$6,0)</f>
        <v>46340</v>
      </c>
    </row>
    <row r="9" customFormat="false" ht="15" hidden="false" customHeight="false" outlineLevel="0" collapsed="false">
      <c r="A9" s="4" t="s">
        <v>31</v>
      </c>
      <c r="B9" s="5" t="s">
        <v>32</v>
      </c>
      <c r="C9" s="4" t="s">
        <v>27</v>
      </c>
      <c r="D9" s="4" t="s">
        <v>23</v>
      </c>
      <c r="E9" s="6" t="n">
        <v>1</v>
      </c>
      <c r="F9" s="6" t="n">
        <v>1</v>
      </c>
      <c r="G9" s="6" t="n">
        <v>2</v>
      </c>
      <c r="H9" s="7" t="n">
        <f aca="false">(E9+4*F9+G9)/6</f>
        <v>1.16666666666667</v>
      </c>
      <c r="I9" s="7" t="n">
        <f aca="false">((G9-E9)/6)^2</f>
        <v>0.0277777777777778</v>
      </c>
      <c r="J9" s="7" t="n">
        <f aca="false">MAX(K7)</f>
        <v>2.33333333333333</v>
      </c>
      <c r="K9" s="7" t="n">
        <f aca="false">J9+H9</f>
        <v>3.5</v>
      </c>
      <c r="L9" s="7" t="n">
        <f aca="false">M9-H9</f>
        <v>4.16666666666667</v>
      </c>
      <c r="M9" s="7" t="n">
        <f aca="false">MIN(L14)</f>
        <v>5.33333333333333</v>
      </c>
      <c r="N9" s="7" t="n">
        <f aca="false">L9-J9</f>
        <v>1.83333333333333</v>
      </c>
      <c r="O9" s="4" t="str">
        <f aca="false">IF(ABS(N9)&lt;0.001,"Sí","No")</f>
        <v>No</v>
      </c>
      <c r="P9" s="4" t="n">
        <f aca="false">ROUND(H9*7,0)</f>
        <v>8</v>
      </c>
      <c r="Q9" s="8" t="n">
        <f aca="false">IF(AND((MAX(R7)+1)&gt;=Festivos!$D$4,(MAX(R7)+1)&lt;=Festivos!$D$5),Festivos!$D$5+1,(MAX(R7)+1))</f>
        <v>46333</v>
      </c>
      <c r="R9" s="8" t="n">
        <f aca="false">Q9+P9-1+IF(AND(Q9&lt;Festivos!$D$4,Q9+P9-1&gt;=Festivos!$D$4),Festivos!$D$6,0)</f>
        <v>46340</v>
      </c>
    </row>
    <row r="10" customFormat="false" ht="15" hidden="false" customHeight="false" outlineLevel="0" collapsed="false">
      <c r="A10" s="4" t="s">
        <v>33</v>
      </c>
      <c r="B10" s="5" t="s">
        <v>34</v>
      </c>
      <c r="C10" s="4" t="s">
        <v>29</v>
      </c>
      <c r="D10" s="4" t="s">
        <v>35</v>
      </c>
      <c r="E10" s="6" t="n">
        <v>1</v>
      </c>
      <c r="F10" s="6" t="n">
        <v>2</v>
      </c>
      <c r="G10" s="6" t="n">
        <v>4</v>
      </c>
      <c r="H10" s="7" t="n">
        <f aca="false">(E10+4*F10+G10)/6</f>
        <v>2.16666666666667</v>
      </c>
      <c r="I10" s="7" t="n">
        <f aca="false">((G10-E10)/6)^2</f>
        <v>0.25</v>
      </c>
      <c r="J10" s="7" t="n">
        <f aca="false">MAX(K8)</f>
        <v>3.5</v>
      </c>
      <c r="K10" s="7" t="n">
        <f aca="false">J10+H10</f>
        <v>5.66666666666667</v>
      </c>
      <c r="L10" s="7" t="n">
        <f aca="false">M10-H10</f>
        <v>5.16666666666667</v>
      </c>
      <c r="M10" s="7" t="n">
        <f aca="false">MIN(L18)</f>
        <v>7.33333333333333</v>
      </c>
      <c r="N10" s="7" t="n">
        <f aca="false">L10-J10</f>
        <v>1.66666666666667</v>
      </c>
      <c r="O10" s="4" t="str">
        <f aca="false">IF(ABS(N10)&lt;0.001,"Sí","No")</f>
        <v>No</v>
      </c>
      <c r="P10" s="4" t="n">
        <f aca="false">ROUND(H10*7,0)</f>
        <v>15</v>
      </c>
      <c r="Q10" s="8" t="n">
        <f aca="false">IF(AND((MAX(R8)+1)&gt;=Festivos!$D$4,(MAX(R8)+1)&lt;=Festivos!$D$5),Festivos!$D$5+1,(MAX(R8)+1))</f>
        <v>46341</v>
      </c>
      <c r="R10" s="8" t="n">
        <f aca="false">Q10+P10-1+IF(AND(Q10&lt;Festivos!$D$4,Q10+P10-1&gt;=Festivos!$D$4),Festivos!$D$6,0)</f>
        <v>46355</v>
      </c>
    </row>
    <row r="11" customFormat="false" ht="15" hidden="false" customHeight="false" outlineLevel="0" collapsed="false">
      <c r="A11" s="4" t="s">
        <v>36</v>
      </c>
      <c r="B11" s="5" t="s">
        <v>37</v>
      </c>
      <c r="C11" s="4" t="s">
        <v>29</v>
      </c>
      <c r="D11" s="4" t="s">
        <v>35</v>
      </c>
      <c r="E11" s="6" t="n">
        <v>1</v>
      </c>
      <c r="F11" s="6" t="n">
        <v>1</v>
      </c>
      <c r="G11" s="6" t="n">
        <v>3</v>
      </c>
      <c r="H11" s="7" t="n">
        <f aca="false">(E11+4*F11+G11)/6</f>
        <v>1.33333333333333</v>
      </c>
      <c r="I11" s="7" t="n">
        <f aca="false">((G11-E11)/6)^2</f>
        <v>0.111111111111111</v>
      </c>
      <c r="J11" s="7" t="n">
        <f aca="false">MAX(K8)</f>
        <v>3.5</v>
      </c>
      <c r="K11" s="7" t="n">
        <f aca="false">J11+H11</f>
        <v>4.83333333333333</v>
      </c>
      <c r="L11" s="7" t="n">
        <f aca="false">M11-H11</f>
        <v>6</v>
      </c>
      <c r="M11" s="7" t="n">
        <f aca="false">MIN(L18)</f>
        <v>7.33333333333333</v>
      </c>
      <c r="N11" s="7" t="n">
        <f aca="false">L11-J11</f>
        <v>2.5</v>
      </c>
      <c r="O11" s="4" t="str">
        <f aca="false">IF(ABS(N11)&lt;0.001,"Sí","No")</f>
        <v>No</v>
      </c>
      <c r="P11" s="4" t="n">
        <f aca="false">ROUND(H11*7,0)</f>
        <v>9</v>
      </c>
      <c r="Q11" s="8" t="n">
        <f aca="false">IF(AND((MAX(R8)+1)&gt;=Festivos!$D$4,(MAX(R8)+1)&lt;=Festivos!$D$5),Festivos!$D$5+1,(MAX(R8)+1))</f>
        <v>46341</v>
      </c>
      <c r="R11" s="8" t="n">
        <f aca="false">Q11+P11-1+IF(AND(Q11&lt;Festivos!$D$4,Q11+P11-1&gt;=Festivos!$D$4),Festivos!$D$6,0)</f>
        <v>46349</v>
      </c>
    </row>
    <row r="12" customFormat="false" ht="15" hidden="false" customHeight="false" outlineLevel="0" collapsed="false">
      <c r="A12" s="4" t="s">
        <v>38</v>
      </c>
      <c r="B12" s="5" t="s">
        <v>39</v>
      </c>
      <c r="C12" s="4" t="s">
        <v>24</v>
      </c>
      <c r="D12" s="4" t="s">
        <v>35</v>
      </c>
      <c r="E12" s="6" t="n">
        <v>1</v>
      </c>
      <c r="F12" s="6" t="n">
        <v>2</v>
      </c>
      <c r="G12" s="6" t="n">
        <v>4</v>
      </c>
      <c r="H12" s="7" t="n">
        <f aca="false">(E12+4*F12+G12)/6</f>
        <v>2.16666666666667</v>
      </c>
      <c r="I12" s="7" t="n">
        <f aca="false">((G12-E12)/6)^2</f>
        <v>0.25</v>
      </c>
      <c r="J12" s="7" t="n">
        <f aca="false">MAX(K6)</f>
        <v>3.5</v>
      </c>
      <c r="K12" s="7" t="n">
        <f aca="false">J12+H12</f>
        <v>5.66666666666667</v>
      </c>
      <c r="L12" s="7" t="n">
        <f aca="false">M12-H12</f>
        <v>5.16666666666667</v>
      </c>
      <c r="M12" s="7" t="n">
        <f aca="false">MIN(L18)</f>
        <v>7.33333333333333</v>
      </c>
      <c r="N12" s="7" t="n">
        <f aca="false">L12-J12</f>
        <v>1.66666666666667</v>
      </c>
      <c r="O12" s="4" t="str">
        <f aca="false">IF(ABS(N12)&lt;0.001,"Sí","No")</f>
        <v>No</v>
      </c>
      <c r="P12" s="4" t="n">
        <f aca="false">ROUND(H12*7,0)</f>
        <v>15</v>
      </c>
      <c r="Q12" s="8" t="n">
        <f aca="false">IF(AND((MAX(R6)+1)&gt;=Festivos!$D$4,(MAX(R6)+1)&lt;=Festivos!$D$5),Festivos!$D$5+1,(MAX(R6)+1))</f>
        <v>46341</v>
      </c>
      <c r="R12" s="8" t="n">
        <f aca="false">Q12+P12-1+IF(AND(Q12&lt;Festivos!$D$4,Q12+P12-1&gt;=Festivos!$D$4),Festivos!$D$6,0)</f>
        <v>46355</v>
      </c>
    </row>
    <row r="13" customFormat="false" ht="15" hidden="false" customHeight="false" outlineLevel="0" collapsed="false">
      <c r="A13" s="4" t="s">
        <v>40</v>
      </c>
      <c r="B13" s="5" t="s">
        <v>41</v>
      </c>
      <c r="C13" s="4" t="s">
        <v>24</v>
      </c>
      <c r="D13" s="4" t="s">
        <v>42</v>
      </c>
      <c r="E13" s="6" t="n">
        <v>1</v>
      </c>
      <c r="F13" s="6" t="n">
        <v>1</v>
      </c>
      <c r="G13" s="6" t="n">
        <v>2</v>
      </c>
      <c r="H13" s="7" t="n">
        <f aca="false">(E13+4*F13+G13)/6</f>
        <v>1.16666666666667</v>
      </c>
      <c r="I13" s="7" t="n">
        <f aca="false">((G13-E13)/6)^2</f>
        <v>0.0277777777777778</v>
      </c>
      <c r="J13" s="7" t="n">
        <f aca="false">MAX(K6)</f>
        <v>3.5</v>
      </c>
      <c r="K13" s="7" t="n">
        <f aca="false">J13+H13</f>
        <v>4.66666666666667</v>
      </c>
      <c r="L13" s="7" t="n">
        <f aca="false">M13-H13</f>
        <v>4.16666666666667</v>
      </c>
      <c r="M13" s="7" t="n">
        <f aca="false">MIN(L14)</f>
        <v>5.33333333333333</v>
      </c>
      <c r="N13" s="7" t="n">
        <f aca="false">L13-J13</f>
        <v>0.666666666666667</v>
      </c>
      <c r="O13" s="4" t="str">
        <f aca="false">IF(ABS(N13)&lt;0.001,"Sí","No")</f>
        <v>No</v>
      </c>
      <c r="P13" s="4" t="n">
        <f aca="false">ROUND(H13*7,0)</f>
        <v>8</v>
      </c>
      <c r="Q13" s="8" t="n">
        <f aca="false">IF(AND((MAX(R6)+1)&gt;=Festivos!$D$4,(MAX(R6)+1)&lt;=Festivos!$D$5),Festivos!$D$5+1,(MAX(R6)+1))</f>
        <v>46341</v>
      </c>
      <c r="R13" s="8" t="n">
        <f aca="false">Q13+P13-1+IF(AND(Q13&lt;Festivos!$D$4,Q13+P13-1&gt;=Festivos!$D$4),Festivos!$D$6,0)</f>
        <v>46348</v>
      </c>
    </row>
    <row r="14" customFormat="false" ht="15" hidden="false" customHeight="false" outlineLevel="0" collapsed="false">
      <c r="A14" s="4" t="s">
        <v>43</v>
      </c>
      <c r="B14" s="5" t="s">
        <v>44</v>
      </c>
      <c r="C14" s="4" t="s">
        <v>45</v>
      </c>
      <c r="D14" s="4" t="s">
        <v>42</v>
      </c>
      <c r="E14" s="6" t="n">
        <v>1</v>
      </c>
      <c r="F14" s="6" t="n">
        <v>2</v>
      </c>
      <c r="G14" s="6" t="n">
        <v>3</v>
      </c>
      <c r="H14" s="7" t="n">
        <f aca="false">(E14+4*F14+G14)/6</f>
        <v>2</v>
      </c>
      <c r="I14" s="7" t="n">
        <f aca="false">((G14-E14)/6)^2</f>
        <v>0.111111111111111</v>
      </c>
      <c r="J14" s="7" t="n">
        <f aca="false">MAX(K13,K9)</f>
        <v>4.66666666666667</v>
      </c>
      <c r="K14" s="7" t="n">
        <f aca="false">J14+H14</f>
        <v>6.66666666666667</v>
      </c>
      <c r="L14" s="7" t="n">
        <f aca="false">M14-H14</f>
        <v>5.33333333333333</v>
      </c>
      <c r="M14" s="7" t="n">
        <f aca="false">MIN(L18)</f>
        <v>7.33333333333333</v>
      </c>
      <c r="N14" s="7" t="n">
        <f aca="false">L14-J14</f>
        <v>0.666666666666667</v>
      </c>
      <c r="O14" s="4" t="str">
        <f aca="false">IF(ABS(N14)&lt;0.001,"Sí","No")</f>
        <v>No</v>
      </c>
      <c r="P14" s="4" t="n">
        <f aca="false">ROUND(H14*7,0)</f>
        <v>14</v>
      </c>
      <c r="Q14" s="8" t="n">
        <f aca="false">IF(AND((MAX(R13,R9)+1)&gt;=Festivos!$D$4,(MAX(R13,R9)+1)&lt;=Festivos!$D$5),Festivos!$D$5+1,(MAX(R13,R9)+1))</f>
        <v>46349</v>
      </c>
      <c r="R14" s="8" t="n">
        <f aca="false">Q14+P14-1+IF(AND(Q14&lt;Festivos!$D$4,Q14+P14-1&gt;=Festivos!$D$4),Festivos!$D$6,0)</f>
        <v>46362</v>
      </c>
    </row>
    <row r="15" customFormat="false" ht="15" hidden="false" customHeight="false" outlineLevel="0" collapsed="false">
      <c r="A15" s="4" t="s">
        <v>46</v>
      </c>
      <c r="B15" s="5" t="s">
        <v>47</v>
      </c>
      <c r="C15" s="4" t="s">
        <v>29</v>
      </c>
      <c r="D15" s="4" t="s">
        <v>26</v>
      </c>
      <c r="E15" s="6" t="n">
        <v>1</v>
      </c>
      <c r="F15" s="6" t="n">
        <v>1</v>
      </c>
      <c r="G15" s="6" t="n">
        <v>2</v>
      </c>
      <c r="H15" s="7" t="n">
        <f aca="false">(E15+4*F15+G15)/6</f>
        <v>1.16666666666667</v>
      </c>
      <c r="I15" s="7" t="n">
        <f aca="false">((G15-E15)/6)^2</f>
        <v>0.0277777777777778</v>
      </c>
      <c r="J15" s="7" t="n">
        <f aca="false">MAX(K8)</f>
        <v>3.5</v>
      </c>
      <c r="K15" s="7" t="n">
        <f aca="false">J15+H15</f>
        <v>4.66666666666667</v>
      </c>
      <c r="L15" s="7" t="n">
        <f aca="false">M15-H15</f>
        <v>3.5</v>
      </c>
      <c r="M15" s="7" t="n">
        <f aca="false">MIN(L16)</f>
        <v>4.66666666666667</v>
      </c>
      <c r="N15" s="7" t="n">
        <f aca="false">L15-J15</f>
        <v>0</v>
      </c>
      <c r="O15" s="4" t="str">
        <f aca="false">IF(ABS(N15)&lt;0.001,"Sí","No")</f>
        <v>Sí</v>
      </c>
      <c r="P15" s="4" t="n">
        <f aca="false">ROUND(H15*7,0)</f>
        <v>8</v>
      </c>
      <c r="Q15" s="8" t="n">
        <f aca="false">IF(AND((MAX(R8)+1)&gt;=Festivos!$D$4,(MAX(R8)+1)&lt;=Festivos!$D$5),Festivos!$D$5+1,(MAX(R8)+1))</f>
        <v>46341</v>
      </c>
      <c r="R15" s="8" t="n">
        <f aca="false">Q15+P15-1+IF(AND(Q15&lt;Festivos!$D$4,Q15+P15-1&gt;=Festivos!$D$4),Festivos!$D$6,0)</f>
        <v>46348</v>
      </c>
    </row>
    <row r="16" customFormat="false" ht="15" hidden="false" customHeight="false" outlineLevel="0" collapsed="false">
      <c r="A16" s="4" t="s">
        <v>48</v>
      </c>
      <c r="B16" s="5" t="s">
        <v>49</v>
      </c>
      <c r="C16" s="4" t="s">
        <v>46</v>
      </c>
      <c r="D16" s="4" t="s">
        <v>26</v>
      </c>
      <c r="E16" s="6" t="n">
        <v>2</v>
      </c>
      <c r="F16" s="6" t="n">
        <v>3</v>
      </c>
      <c r="G16" s="6" t="n">
        <v>8</v>
      </c>
      <c r="H16" s="7" t="n">
        <f aca="false">(E16+4*F16+G16)/6</f>
        <v>3.66666666666667</v>
      </c>
      <c r="I16" s="7" t="n">
        <f aca="false">((G16-E16)/6)^2</f>
        <v>1</v>
      </c>
      <c r="J16" s="7" t="n">
        <f aca="false">MAX(K15)</f>
        <v>4.66666666666667</v>
      </c>
      <c r="K16" s="7" t="n">
        <f aca="false">J16+H16</f>
        <v>8.33333333333333</v>
      </c>
      <c r="L16" s="7" t="n">
        <f aca="false">M16-H16</f>
        <v>4.66666666666667</v>
      </c>
      <c r="M16" s="7" t="n">
        <f aca="false">MIN(L17)</f>
        <v>8.33333333333333</v>
      </c>
      <c r="N16" s="7" t="n">
        <f aca="false">L16-J16</f>
        <v>0</v>
      </c>
      <c r="O16" s="4" t="str">
        <f aca="false">IF(ABS(N16)&lt;0.001,"Sí","No")</f>
        <v>Sí</v>
      </c>
      <c r="P16" s="4" t="n">
        <f aca="false">ROUND(H16*7,0)</f>
        <v>26</v>
      </c>
      <c r="Q16" s="8" t="n">
        <f aca="false">IF(AND((MAX(R15)+1)&gt;=Festivos!$D$4,(MAX(R15)+1)&lt;=Festivos!$D$5),Festivos!$D$5+1,(MAX(R15)+1))</f>
        <v>46349</v>
      </c>
      <c r="R16" s="8" t="n">
        <f aca="false">Q16+P16-1+IF(AND(Q16&lt;Festivos!$D$4,Q16+P16-1&gt;=Festivos!$D$4),Festivos!$D$6,0)</f>
        <v>46374</v>
      </c>
    </row>
    <row r="17" customFormat="false" ht="15" hidden="false" customHeight="false" outlineLevel="0" collapsed="false">
      <c r="A17" s="4" t="s">
        <v>50</v>
      </c>
      <c r="B17" s="5" t="s">
        <v>51</v>
      </c>
      <c r="C17" s="4" t="s">
        <v>48</v>
      </c>
      <c r="D17" s="4" t="s">
        <v>26</v>
      </c>
      <c r="E17" s="6" t="n">
        <v>1</v>
      </c>
      <c r="F17" s="6" t="n">
        <v>1</v>
      </c>
      <c r="G17" s="6" t="n">
        <v>2</v>
      </c>
      <c r="H17" s="7" t="n">
        <f aca="false">(E17+4*F17+G17)/6</f>
        <v>1.16666666666667</v>
      </c>
      <c r="I17" s="7" t="n">
        <f aca="false">((G17-E17)/6)^2</f>
        <v>0.0277777777777778</v>
      </c>
      <c r="J17" s="7" t="n">
        <f aca="false">MAX(K16)</f>
        <v>8.33333333333333</v>
      </c>
      <c r="K17" s="7" t="n">
        <f aca="false">J17+H17</f>
        <v>9.5</v>
      </c>
      <c r="L17" s="7" t="n">
        <f aca="false">M17-H17</f>
        <v>8.33333333333333</v>
      </c>
      <c r="M17" s="7" t="n">
        <f aca="false">MIN(L19)</f>
        <v>9.5</v>
      </c>
      <c r="N17" s="7" t="n">
        <f aca="false">L17-J17</f>
        <v>0</v>
      </c>
      <c r="O17" s="4" t="str">
        <f aca="false">IF(ABS(N17)&lt;0.001,"Sí","No")</f>
        <v>Sí</v>
      </c>
      <c r="P17" s="4" t="n">
        <f aca="false">ROUND(H17*7,0)</f>
        <v>8</v>
      </c>
      <c r="Q17" s="8" t="n">
        <f aca="false">IF(AND((MAX(R16)+1)&gt;=Festivos!$D$4,(MAX(R16)+1)&lt;=Festivos!$D$5),Festivos!$D$5+1,(MAX(R16)+1))</f>
        <v>46375</v>
      </c>
      <c r="R17" s="8" t="n">
        <f aca="false">Q17+P17-1+IF(AND(Q17&lt;Festivos!$D$4,Q17+P17-1&gt;=Festivos!$D$4),Festivos!$D$6,0)</f>
        <v>46397</v>
      </c>
    </row>
    <row r="18" customFormat="false" ht="15" hidden="false" customHeight="false" outlineLevel="0" collapsed="false">
      <c r="A18" s="4" t="s">
        <v>52</v>
      </c>
      <c r="B18" s="5" t="s">
        <v>53</v>
      </c>
      <c r="C18" s="4" t="s">
        <v>54</v>
      </c>
      <c r="D18" s="4" t="s">
        <v>35</v>
      </c>
      <c r="E18" s="6" t="n">
        <v>1</v>
      </c>
      <c r="F18" s="6" t="n">
        <v>2</v>
      </c>
      <c r="G18" s="6" t="n">
        <v>4</v>
      </c>
      <c r="H18" s="7" t="n">
        <f aca="false">(E18+4*F18+G18)/6</f>
        <v>2.16666666666667</v>
      </c>
      <c r="I18" s="7" t="n">
        <f aca="false">((G18-E18)/6)^2</f>
        <v>0.25</v>
      </c>
      <c r="J18" s="7" t="n">
        <f aca="false">MAX(K10,K11,K12,K14)</f>
        <v>6.66666666666667</v>
      </c>
      <c r="K18" s="7" t="n">
        <f aca="false">J18+H18</f>
        <v>8.83333333333333</v>
      </c>
      <c r="L18" s="7" t="n">
        <f aca="false">M18-H18</f>
        <v>7.33333333333333</v>
      </c>
      <c r="M18" s="7" t="n">
        <f aca="false">MIN(L19)</f>
        <v>9.5</v>
      </c>
      <c r="N18" s="7" t="n">
        <f aca="false">L18-J18</f>
        <v>0.666666666666667</v>
      </c>
      <c r="O18" s="4" t="str">
        <f aca="false">IF(ABS(N18)&lt;0.001,"Sí","No")</f>
        <v>No</v>
      </c>
      <c r="P18" s="4" t="n">
        <f aca="false">ROUND(H18*7,0)</f>
        <v>15</v>
      </c>
      <c r="Q18" s="8" t="n">
        <f aca="false">IF(AND((MAX(R10,R11,R12,R14)+1)&gt;=Festivos!$D$4,(MAX(R10,R11,R12,R14)+1)&lt;=Festivos!$D$5),Festivos!$D$5+1,(MAX(R10,R11,R12,R14)+1))</f>
        <v>46363</v>
      </c>
      <c r="R18" s="8" t="n">
        <f aca="false">Q18+P18-1+IF(AND(Q18&lt;Festivos!$D$4,Q18+P18-1&gt;=Festivos!$D$4),Festivos!$D$6,0)</f>
        <v>46377</v>
      </c>
    </row>
    <row r="19" customFormat="false" ht="15" hidden="false" customHeight="false" outlineLevel="0" collapsed="false">
      <c r="A19" s="4" t="s">
        <v>55</v>
      </c>
      <c r="B19" s="5" t="s">
        <v>56</v>
      </c>
      <c r="C19" s="4" t="s">
        <v>57</v>
      </c>
      <c r="D19" s="4" t="s">
        <v>58</v>
      </c>
      <c r="E19" s="6" t="n">
        <v>1</v>
      </c>
      <c r="F19" s="6" t="n">
        <v>1</v>
      </c>
      <c r="G19" s="6" t="n">
        <v>2</v>
      </c>
      <c r="H19" s="7" t="n">
        <f aca="false">(E19+4*F19+G19)/6</f>
        <v>1.16666666666667</v>
      </c>
      <c r="I19" s="7" t="n">
        <f aca="false">((G19-E19)/6)^2</f>
        <v>0.0277777777777778</v>
      </c>
      <c r="J19" s="7" t="n">
        <f aca="false">MAX(K18,K17)</f>
        <v>9.5</v>
      </c>
      <c r="K19" s="7" t="n">
        <f aca="false">J19+H19</f>
        <v>10.6666666666667</v>
      </c>
      <c r="L19" s="7" t="n">
        <f aca="false">M19-H19</f>
        <v>9.5</v>
      </c>
      <c r="M19" s="7" t="n">
        <f aca="false">MAX($K$5:$K$19)</f>
        <v>10.6666666666667</v>
      </c>
      <c r="N19" s="7" t="n">
        <f aca="false">L19-J19</f>
        <v>0</v>
      </c>
      <c r="O19" s="4" t="str">
        <f aca="false">IF(ABS(N19)&lt;0.001,"Sí","No")</f>
        <v>Sí</v>
      </c>
      <c r="P19" s="4" t="n">
        <f aca="false">ROUND(H19*7,0)</f>
        <v>8</v>
      </c>
      <c r="Q19" s="8" t="n">
        <f aca="false">IF(AND((MAX(R18,R17)+1)&gt;=Festivos!$D$4,(MAX(R18,R17)+1)&lt;=Festivos!$D$5),Festivos!$D$5+1,(MAX(R18,R17)+1))</f>
        <v>46398</v>
      </c>
      <c r="R19" s="8" t="n">
        <f aca="false">Q19+P19-1+IF(AND(Q19&lt;Festivos!$D$4,Q19+P19-1&gt;=Festivos!$D$4),Festivos!$D$6,0)</f>
        <v>46405</v>
      </c>
    </row>
    <row r="21" customFormat="false" ht="15" hidden="false" customHeight="false" outlineLevel="0" collapsed="false">
      <c r="A21" s="2" t="s">
        <v>59</v>
      </c>
    </row>
    <row r="22" customFormat="false" ht="15" hidden="false" customHeight="false" outlineLevel="0" collapsed="false">
      <c r="A22" s="2" t="s">
        <v>60</v>
      </c>
    </row>
  </sheetData>
  <conditionalFormatting sqref="A5:R19">
    <cfRule type="expression" priority="2" aboveAverage="0" equalAverage="0" bottom="0" percent="0" rank="0" text="" dxfId="0">
      <formula>$O5="Sí"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9" t="s">
        <v>63</v>
      </c>
      <c r="B4" s="10" t="n">
        <v>46317</v>
      </c>
      <c r="C4" s="2" t="s">
        <v>64</v>
      </c>
    </row>
    <row r="5" customFormat="false" ht="15" hidden="false" customHeight="false" outlineLevel="0" collapsed="false">
      <c r="A5" s="9" t="s">
        <v>65</v>
      </c>
      <c r="B5" s="11" t="n">
        <f aca="false">MAX(PERT!$K$5:$K$19)</f>
        <v>10.6666666666667</v>
      </c>
      <c r="C5" s="2" t="s">
        <v>66</v>
      </c>
    </row>
    <row r="6" customFormat="false" ht="15" hidden="false" customHeight="false" outlineLevel="0" collapsed="false">
      <c r="A6" s="9" t="s">
        <v>67</v>
      </c>
      <c r="B6" s="11" t="n">
        <f aca="false">SUMIF(PERT!$O$5:$O$19,"Sí",PERT!$I$5:$I$19)</f>
        <v>1.16666666666667</v>
      </c>
      <c r="C6" s="2"/>
    </row>
    <row r="7" customFormat="false" ht="15" hidden="false" customHeight="false" outlineLevel="0" collapsed="false">
      <c r="A7" s="9" t="s">
        <v>68</v>
      </c>
      <c r="B7" s="11" t="n">
        <f aca="false">SQRT(B6)</f>
        <v>1.08012344973464</v>
      </c>
      <c r="C7" s="2"/>
    </row>
    <row r="8" customFormat="false" ht="15" hidden="false" customHeight="false" outlineLevel="0" collapsed="false">
      <c r="A8" s="9" t="s">
        <v>69</v>
      </c>
      <c r="B8" s="12" t="n">
        <f aca="false">MAX(PERT!$R$5:$R$19)</f>
        <v>46405</v>
      </c>
      <c r="C8" s="2" t="s">
        <v>70</v>
      </c>
    </row>
    <row r="9" customFormat="false" ht="15" hidden="false" customHeight="false" outlineLevel="0" collapsed="false">
      <c r="A9" s="9" t="s">
        <v>71</v>
      </c>
      <c r="B9" s="10" t="n">
        <v>46409</v>
      </c>
      <c r="C9" s="2" t="s">
        <v>72</v>
      </c>
    </row>
    <row r="10" customFormat="false" ht="15" hidden="false" customHeight="false" outlineLevel="0" collapsed="false">
      <c r="A10" s="9" t="s">
        <v>73</v>
      </c>
      <c r="B10" s="11" t="n">
        <f aca="false">(B9-B4+1-MAX(0,MIN(B9,Festivos!$D$5)-MAX(B4,Festivos!$D$4)+1))/7</f>
        <v>11.1428571428571</v>
      </c>
      <c r="C10" s="2" t="s">
        <v>74</v>
      </c>
    </row>
    <row r="11" customFormat="false" ht="15" hidden="false" customHeight="false" outlineLevel="0" collapsed="false">
      <c r="A11" s="9" t="s">
        <v>75</v>
      </c>
      <c r="B11" s="11" t="n">
        <f aca="false">(B10-B5)/B7</f>
        <v>0.440866714177405</v>
      </c>
      <c r="C11" s="2"/>
    </row>
    <row r="12" customFormat="false" ht="15" hidden="false" customHeight="false" outlineLevel="0" collapsed="false">
      <c r="A12" s="9" t="s">
        <v>76</v>
      </c>
      <c r="B12" s="13" t="n">
        <f aca="false">NORMSDIST(B11)</f>
        <v>0.670345253897111</v>
      </c>
      <c r="C12" s="2" t="s">
        <v>77</v>
      </c>
    </row>
    <row r="14" customFormat="false" ht="15" hidden="false" customHeight="false" outlineLevel="0" collapsed="false">
      <c r="A14" s="9" t="s">
        <v>78</v>
      </c>
      <c r="B14" s="0" t="str">
        <f aca="false">TRIM(IF(PERT!$O$5="Sí",PERT!$A$5&amp;" ","")&amp;IF(PERT!$O$6="Sí",PERT!$A$6&amp;" ","")&amp;IF(PERT!$O$7="Sí",PERT!$A$7&amp;" ","")&amp;IF(PERT!$O$8="Sí",PERT!$A$8&amp;" ","")&amp;IF(PERT!$O$9="Sí",PERT!$A$9&amp;" ","")&amp;IF(PERT!$O$10="Sí",PERT!$A$10&amp;" ","")&amp;IF(PERT!$O$11="Sí",PERT!$A$11&amp;" ","")&amp;IF(PERT!$O$12="Sí",PERT!$A$12&amp;" ","")&amp;IF(PERT!$O$13="Sí",PERT!$A$13&amp;" ","")&amp;IF(PERT!$O$14="Sí",PERT!$A$14&amp;" ","")&amp;IF(PERT!$O$15="Sí",PERT!$A$15&amp;" ","")&amp;IF(PERT!$O$16="Sí",PERT!$A$16&amp;" ","")&amp;IF(PERT!$O$17="Sí",PERT!$A$17&amp;" ","")&amp;IF(PERT!$O$18="Sí",PERT!$A$18&amp;" ","")&amp;IF(PERT!$O$19="Sí",PERT!$A$19&amp;" ",""))</f>
        <v>A C D K L M 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3" style="0" width="26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9" t="s">
        <v>79</v>
      </c>
    </row>
    <row r="2" customFormat="false" ht="15" hidden="false" customHeight="false" outlineLevel="0" collapsed="false">
      <c r="A2" s="2" t="s">
        <v>80</v>
      </c>
    </row>
    <row r="4" customFormat="false" ht="15" hidden="false" customHeight="false" outlineLevel="0" collapsed="false">
      <c r="A4" s="14" t="n">
        <v>46379</v>
      </c>
      <c r="C4" s="9" t="s">
        <v>81</v>
      </c>
      <c r="D4" s="12" t="n">
        <f aca="false">MIN(Festivos)</f>
        <v>46379</v>
      </c>
    </row>
    <row r="5" customFormat="false" ht="15" hidden="false" customHeight="false" outlineLevel="0" collapsed="false">
      <c r="A5" s="14" t="n">
        <v>46380</v>
      </c>
      <c r="C5" s="9" t="s">
        <v>82</v>
      </c>
      <c r="D5" s="12" t="n">
        <f aca="false">MAX(Festivos)</f>
        <v>46393</v>
      </c>
    </row>
    <row r="6" customFormat="false" ht="15" hidden="false" customHeight="false" outlineLevel="0" collapsed="false">
      <c r="A6" s="14" t="n">
        <v>46381</v>
      </c>
      <c r="C6" s="9" t="s">
        <v>83</v>
      </c>
      <c r="D6" s="15" t="n">
        <f aca="false">COUNT(Festivos)</f>
        <v>15</v>
      </c>
    </row>
    <row r="7" customFormat="false" ht="15" hidden="false" customHeight="false" outlineLevel="0" collapsed="false">
      <c r="A7" s="14" t="n">
        <v>46382</v>
      </c>
    </row>
    <row r="8" customFormat="false" ht="15" hidden="false" customHeight="false" outlineLevel="0" collapsed="false">
      <c r="A8" s="14" t="n">
        <v>46383</v>
      </c>
      <c r="C8" s="2" t="s">
        <v>84</v>
      </c>
    </row>
    <row r="9" customFormat="false" ht="15" hidden="false" customHeight="false" outlineLevel="0" collapsed="false">
      <c r="A9" s="14" t="n">
        <v>46384</v>
      </c>
    </row>
    <row r="10" customFormat="false" ht="15" hidden="false" customHeight="false" outlineLevel="0" collapsed="false">
      <c r="A10" s="14" t="n">
        <v>46385</v>
      </c>
    </row>
    <row r="11" customFormat="false" ht="15" hidden="false" customHeight="false" outlineLevel="0" collapsed="false">
      <c r="A11" s="14" t="n">
        <v>46386</v>
      </c>
    </row>
    <row r="12" customFormat="false" ht="15" hidden="false" customHeight="false" outlineLevel="0" collapsed="false">
      <c r="A12" s="14" t="n">
        <v>46387</v>
      </c>
    </row>
    <row r="13" customFormat="false" ht="15" hidden="false" customHeight="false" outlineLevel="0" collapsed="false">
      <c r="A13" s="14" t="n">
        <v>46388</v>
      </c>
    </row>
    <row r="14" customFormat="false" ht="15" hidden="false" customHeight="false" outlineLevel="0" collapsed="false">
      <c r="A14" s="14" t="n">
        <v>46389</v>
      </c>
    </row>
    <row r="15" customFormat="false" ht="15" hidden="false" customHeight="false" outlineLevel="0" collapsed="false">
      <c r="A15" s="14" t="n">
        <v>46390</v>
      </c>
    </row>
    <row r="16" customFormat="false" ht="15" hidden="false" customHeight="false" outlineLevel="0" collapsed="false">
      <c r="A16" s="14" t="n">
        <v>46391</v>
      </c>
    </row>
    <row r="17" customFormat="false" ht="15" hidden="false" customHeight="false" outlineLevel="0" collapsed="false">
      <c r="A17" s="14" t="n">
        <v>46392</v>
      </c>
    </row>
    <row r="18" customFormat="false" ht="15" hidden="false" customHeight="false" outlineLevel="0" collapsed="false">
      <c r="A18" s="14" t="n">
        <v>46393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2026-10-22T13:40:04Z</dcterms:created>
  <dc:creator>openpyxl</dc:creator>
  <dc:description/>
  <dc:language>en-US</dc:language>
  <cp:lastModifiedBy/>
  <dcterms:modified xsi:type="dcterms:W3CDTF">2026-10-22T13:40:04Z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